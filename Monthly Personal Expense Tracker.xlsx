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nses" sheetId="1" r:id="rId5"/>
    <sheet state="visible" name="Lists" sheetId="2" r:id="rId6"/>
  </sheets>
  <definedNames>
    <definedName name="Bills">#REF!</definedName>
    <definedName name="Housing">#REF!</definedName>
    <definedName name="shopping">#REF!</definedName>
    <definedName name="Food">#REF!</definedName>
    <definedName name="Transport">#REF!</definedName>
    <definedName name="Health">#REF!</definedName>
  </definedNames>
  <calcPr/>
</workbook>
</file>

<file path=xl/sharedStrings.xml><?xml version="1.0" encoding="utf-8"?>
<sst xmlns="http://schemas.openxmlformats.org/spreadsheetml/2006/main" count="151" uniqueCount="58">
  <si>
    <t>Category</t>
  </si>
  <si>
    <t>Description</t>
  </si>
  <si>
    <t>Categories</t>
  </si>
  <si>
    <t>Food</t>
  </si>
  <si>
    <t>Groceries</t>
  </si>
  <si>
    <t>restaurants</t>
  </si>
  <si>
    <t>Transport</t>
  </si>
  <si>
    <t>fast food</t>
  </si>
  <si>
    <t>Housing</t>
  </si>
  <si>
    <t>drinks</t>
  </si>
  <si>
    <t>Bills &amp; Utilities</t>
  </si>
  <si>
    <t>snaks</t>
  </si>
  <si>
    <t>Shopping</t>
  </si>
  <si>
    <t>uber</t>
  </si>
  <si>
    <t>Health</t>
  </si>
  <si>
    <t>bolt</t>
  </si>
  <si>
    <t>parking</t>
  </si>
  <si>
    <t>fuel</t>
  </si>
  <si>
    <t>public transport</t>
  </si>
  <si>
    <t>rent</t>
  </si>
  <si>
    <t>electricity</t>
  </si>
  <si>
    <t>water</t>
  </si>
  <si>
    <t>gas</t>
  </si>
  <si>
    <t>repairs</t>
  </si>
  <si>
    <t>airtime</t>
  </si>
  <si>
    <t>data</t>
  </si>
  <si>
    <t>internet</t>
  </si>
  <si>
    <t>subscription</t>
  </si>
  <si>
    <t>Girlfriend</t>
  </si>
  <si>
    <t>clothes</t>
  </si>
  <si>
    <t>shoes</t>
  </si>
  <si>
    <t>electronics</t>
  </si>
  <si>
    <t>accessories</t>
  </si>
  <si>
    <t>personal</t>
  </si>
  <si>
    <t>medication</t>
  </si>
  <si>
    <t>doctor visits</t>
  </si>
  <si>
    <t>phamarcy</t>
  </si>
  <si>
    <t>gym/fitness</t>
  </si>
  <si>
    <t>Date</t>
  </si>
  <si>
    <t>Amount</t>
  </si>
  <si>
    <t>Merged dates</t>
  </si>
  <si>
    <t>Merged amounts</t>
  </si>
  <si>
    <t>Merged categories</t>
  </si>
  <si>
    <t>Merged Category Spending</t>
  </si>
  <si>
    <t>Merged sub cat</t>
  </si>
  <si>
    <t>Merged sub cat spending</t>
  </si>
  <si>
    <t>Total spending 👉</t>
  </si>
  <si>
    <t>Average amount spent 👉</t>
  </si>
  <si>
    <t>Highest spending day 👉</t>
  </si>
  <si>
    <t>Lowest spendig day 👉</t>
  </si>
  <si>
    <t>Highest spending category 👉</t>
  </si>
  <si>
    <t>Lowest spending category 👉</t>
  </si>
  <si>
    <t>Highest spending sub cat 👉</t>
  </si>
  <si>
    <t>Lowest spending sub cat 👉</t>
  </si>
  <si>
    <t>Total transaction 👉</t>
  </si>
  <si>
    <t>Hghest amount spent in a day</t>
  </si>
  <si>
    <t>Categories on highest spending day</t>
  </si>
  <si>
    <t>Sub cats on highest spending 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</si>
</sst>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.0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&quot;Google Sans Mono&quot;"/>
    </font>
  </fonts>
  <fills count="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4" xfId="0" applyFont="1" applyNumberFormat="1"/>
    <xf borderId="0" fillId="2" fontId="2" numFmtId="0" xfId="0" applyAlignment="1" applyFill="1" applyFont="1">
      <alignment readingOrder="0"/>
    </xf>
    <xf borderId="0" fillId="2" fontId="2" numFmtId="165" xfId="0" applyFill="1" applyFont="1" applyNumberFormat="1"/>
    <xf borderId="0" fillId="0" fontId="2" numFmtId="165" xfId="0" applyFont="1" applyNumberFormat="1"/>
    <xf borderId="0" fillId="3" fontId="2" numFmtId="0" xfId="0" applyAlignment="1" applyFill="1" applyFont="1">
      <alignment readingOrder="0"/>
    </xf>
    <xf borderId="0" fillId="3" fontId="2" numFmtId="0" xfId="0" applyFill="1" applyFont="1"/>
    <xf borderId="0" fillId="3" fontId="3" numFmtId="0" xfId="0" applyFill="1" applyFont="1"/>
    <xf borderId="0" fillId="4" fontId="2" numFmtId="0" xfId="0" applyAlignment="1" applyFill="1" applyFont="1">
      <alignment readingOrder="0"/>
    </xf>
    <xf borderId="0" fillId="4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228600</xdr:colOff>
      <xdr:row>14</xdr:row>
      <xdr:rowOff>200025</xdr:rowOff>
    </xdr:from>
    <xdr:ext cx="3362325" cy="2152650"/>
    <xdr:pic>
      <xdr:nvPicPr>
        <xdr:cNvPr id="2051480999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228600</xdr:colOff>
      <xdr:row>1</xdr:row>
      <xdr:rowOff>200025</xdr:rowOff>
    </xdr:from>
    <xdr:ext cx="3362325" cy="2457450"/>
    <xdr:pic>
      <xdr:nvPicPr>
        <xdr:cNvPr id="1901785578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6" max="6" width="12.63"/>
    <col customWidth="1" hidden="1" min="7" max="7" width="14.38"/>
    <col customWidth="1" hidden="1" min="8" max="8" width="15.88"/>
    <col customWidth="1" hidden="1" min="9" max="9" width="22.63"/>
    <col customWidth="1" hidden="1" min="10" max="10" width="13.25"/>
    <col customWidth="1" hidden="1" min="11" max="11" width="21.13"/>
    <col customWidth="1" min="14" max="14" width="32.13"/>
  </cols>
  <sheetData>
    <row r="1">
      <c r="A1" s="1" t="s">
        <v>38</v>
      </c>
      <c r="B1" s="1" t="s">
        <v>0</v>
      </c>
      <c r="C1" s="1" t="s">
        <v>1</v>
      </c>
      <c r="D1" s="1" t="s">
        <v>39</v>
      </c>
      <c r="E1" s="2"/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2"/>
      <c r="M1" s="2"/>
      <c r="N1" s="2"/>
      <c r="O1" s="2"/>
      <c r="P1" s="2"/>
      <c r="Q1" s="1"/>
      <c r="R1" s="2"/>
      <c r="S1" s="2"/>
      <c r="T1" s="2"/>
      <c r="U1" s="2"/>
      <c r="V1" s="2"/>
      <c r="W1" s="2"/>
      <c r="X1" s="2"/>
      <c r="Y1" s="2"/>
      <c r="Z1" s="2"/>
    </row>
    <row r="2">
      <c r="A2" s="5">
        <v>46235.0</v>
      </c>
      <c r="B2" s="3" t="s">
        <v>14</v>
      </c>
      <c r="C2" s="3" t="s">
        <v>36</v>
      </c>
      <c r="D2" s="6">
        <v>37.12</v>
      </c>
      <c r="F2" s="7">
        <f t="array" ref="F2:F16">UNIQUE(A2:A1000)</f>
        <v>46235</v>
      </c>
      <c r="G2" s="4">
        <f t="shared" ref="G2:G15" si="1">SUMIF($A$2:$A1000,F2,$D$2:$D1000)</f>
        <v>37.12</v>
      </c>
      <c r="H2" s="4" t="str">
        <f t="array" ref="H2:H8">UNIQUE(B2:B1000)</f>
        <v>Health</v>
      </c>
      <c r="I2" s="4">
        <f t="shared" ref="I2:I7" si="2">SUMIF($B$2:$B1000,H2,$D$2:$D1000)</f>
        <v>135.24</v>
      </c>
      <c r="J2" s="4" t="str">
        <f t="array" ref="J2:J18">UNIQUE(C2:C1000)</f>
        <v>phamarcy</v>
      </c>
      <c r="K2" s="4">
        <f t="shared" ref="K2:K17" si="3">SUMIF($C$2:$C1000,J2,$D$2:$D1000)</f>
        <v>135.24</v>
      </c>
    </row>
    <row r="3">
      <c r="A3" s="5">
        <v>46236.0</v>
      </c>
      <c r="B3" s="3" t="s">
        <v>10</v>
      </c>
      <c r="C3" s="3" t="s">
        <v>27</v>
      </c>
      <c r="D3" s="6">
        <v>58.12</v>
      </c>
      <c r="F3" s="7">
        <v>46236.0</v>
      </c>
      <c r="G3" s="4">
        <f t="shared" si="1"/>
        <v>58.12</v>
      </c>
      <c r="H3" s="4" t="s">
        <v>10</v>
      </c>
      <c r="I3" s="4">
        <f t="shared" si="2"/>
        <v>387.91</v>
      </c>
      <c r="J3" s="4" t="s">
        <v>27</v>
      </c>
      <c r="K3" s="4">
        <f t="shared" si="3"/>
        <v>151.59</v>
      </c>
    </row>
    <row r="4">
      <c r="A4" s="5">
        <v>46237.0</v>
      </c>
      <c r="B4" s="3" t="s">
        <v>10</v>
      </c>
      <c r="C4" s="3" t="s">
        <v>27</v>
      </c>
      <c r="D4" s="6">
        <v>93.47</v>
      </c>
      <c r="F4" s="7">
        <v>46237.0</v>
      </c>
      <c r="G4" s="4">
        <f t="shared" si="1"/>
        <v>278.53</v>
      </c>
      <c r="H4" s="4" t="s">
        <v>12</v>
      </c>
      <c r="I4" s="4">
        <f t="shared" si="2"/>
        <v>111.97</v>
      </c>
      <c r="J4" s="4" t="s">
        <v>33</v>
      </c>
      <c r="K4" s="4">
        <f t="shared" si="3"/>
        <v>93.16</v>
      </c>
    </row>
    <row r="5">
      <c r="A5" s="5">
        <v>46237.0</v>
      </c>
      <c r="B5" s="3" t="s">
        <v>12</v>
      </c>
      <c r="C5" s="3" t="s">
        <v>33</v>
      </c>
      <c r="D5" s="6">
        <v>93.16</v>
      </c>
      <c r="F5" s="7">
        <v>46238.0</v>
      </c>
      <c r="G5" s="4">
        <f t="shared" si="1"/>
        <v>182.97</v>
      </c>
      <c r="H5" s="4" t="s">
        <v>6</v>
      </c>
      <c r="I5" s="4">
        <f t="shared" si="2"/>
        <v>106.44</v>
      </c>
      <c r="J5" s="4" t="s">
        <v>28</v>
      </c>
      <c r="K5" s="4">
        <f t="shared" si="3"/>
        <v>137.95</v>
      </c>
    </row>
    <row r="6">
      <c r="A6" s="5">
        <v>46237.0</v>
      </c>
      <c r="B6" s="3" t="s">
        <v>10</v>
      </c>
      <c r="C6" s="3" t="s">
        <v>28</v>
      </c>
      <c r="D6" s="6">
        <v>91.9</v>
      </c>
      <c r="F6" s="7">
        <v>46239.0</v>
      </c>
      <c r="G6" s="4">
        <f t="shared" si="1"/>
        <v>12.31</v>
      </c>
      <c r="H6" s="4" t="s">
        <v>3</v>
      </c>
      <c r="I6" s="4">
        <f t="shared" si="2"/>
        <v>116.35</v>
      </c>
      <c r="J6" s="4" t="s">
        <v>24</v>
      </c>
      <c r="K6" s="4">
        <f t="shared" si="3"/>
        <v>84.85</v>
      </c>
    </row>
    <row r="7">
      <c r="A7" s="5">
        <v>46238.0</v>
      </c>
      <c r="B7" s="3" t="s">
        <v>14</v>
      </c>
      <c r="C7" s="3" t="s">
        <v>36</v>
      </c>
      <c r="D7" s="6">
        <v>98.12</v>
      </c>
      <c r="F7" s="7">
        <v>46240.0</v>
      </c>
      <c r="G7" s="4">
        <f t="shared" si="1"/>
        <v>25.11</v>
      </c>
      <c r="H7" s="4" t="s">
        <v>8</v>
      </c>
      <c r="I7" s="4">
        <f t="shared" si="2"/>
        <v>184.22</v>
      </c>
      <c r="J7" s="4" t="s">
        <v>18</v>
      </c>
      <c r="K7" s="4">
        <f t="shared" si="3"/>
        <v>12.31</v>
      </c>
      <c r="N7" s="8" t="s">
        <v>46</v>
      </c>
      <c r="O7" s="9">
        <f>SUM(D2:D1000)</f>
        <v>1042.13</v>
      </c>
    </row>
    <row r="8">
      <c r="A8" s="5">
        <v>46238.0</v>
      </c>
      <c r="B8" s="3" t="s">
        <v>10</v>
      </c>
      <c r="C8" s="3" t="s">
        <v>24</v>
      </c>
      <c r="D8" s="6">
        <v>84.85</v>
      </c>
      <c r="F8" s="7">
        <v>46242.0</v>
      </c>
      <c r="G8" s="4">
        <f t="shared" si="1"/>
        <v>59.84</v>
      </c>
      <c r="H8" s="4"/>
      <c r="J8" s="4" t="s">
        <v>9</v>
      </c>
      <c r="K8" s="4">
        <f t="shared" si="3"/>
        <v>25.11</v>
      </c>
      <c r="N8" s="3" t="s">
        <v>47</v>
      </c>
      <c r="O8" s="10">
        <f>AVERAGE(D2:D1000)</f>
        <v>52.1065</v>
      </c>
    </row>
    <row r="9">
      <c r="A9" s="5">
        <v>46239.0</v>
      </c>
      <c r="B9" s="3" t="s">
        <v>6</v>
      </c>
      <c r="C9" s="3" t="s">
        <v>18</v>
      </c>
      <c r="D9" s="6">
        <v>12.31</v>
      </c>
      <c r="F9" s="7">
        <v>46244.0</v>
      </c>
      <c r="G9" s="4">
        <f t="shared" si="1"/>
        <v>19.83</v>
      </c>
      <c r="J9" s="4" t="s">
        <v>21</v>
      </c>
      <c r="K9" s="4">
        <f t="shared" si="3"/>
        <v>28.19</v>
      </c>
      <c r="N9" s="3" t="s">
        <v>48</v>
      </c>
      <c r="O9" s="7">
        <f t="array" ref="O9">_xlfn.XLOOKUP(max(G2:G1000), G2:G1000, F2:F1000, 0)</f>
        <v>46237</v>
      </c>
    </row>
    <row r="10">
      <c r="A10" s="5">
        <v>46240.0</v>
      </c>
      <c r="B10" s="3" t="s">
        <v>3</v>
      </c>
      <c r="C10" s="3" t="s">
        <v>9</v>
      </c>
      <c r="D10" s="6">
        <v>25.11</v>
      </c>
      <c r="F10" s="7">
        <v>46249.0</v>
      </c>
      <c r="G10" s="4">
        <f t="shared" si="1"/>
        <v>107.65</v>
      </c>
      <c r="J10" s="4" t="s">
        <v>11</v>
      </c>
      <c r="K10" s="4">
        <f t="shared" si="3"/>
        <v>31.65</v>
      </c>
      <c r="N10" s="3" t="s">
        <v>49</v>
      </c>
      <c r="O10" s="7">
        <f t="array" ref="O10">_xlfn.XLOOKUP(min(G2:G1000), G2:G1000, F2:F1000, 0)</f>
        <v>46239</v>
      </c>
    </row>
    <row r="11">
      <c r="A11" s="5">
        <v>46242.0</v>
      </c>
      <c r="B11" s="3" t="s">
        <v>8</v>
      </c>
      <c r="C11" s="3" t="s">
        <v>21</v>
      </c>
      <c r="D11" s="6">
        <v>28.19</v>
      </c>
      <c r="F11" s="7">
        <v>46251.0</v>
      </c>
      <c r="G11" s="4">
        <f t="shared" si="1"/>
        <v>89.02</v>
      </c>
      <c r="J11" s="4" t="s">
        <v>5</v>
      </c>
      <c r="K11" s="4">
        <f t="shared" si="3"/>
        <v>19.83</v>
      </c>
      <c r="N11" s="3" t="s">
        <v>50</v>
      </c>
      <c r="O11" s="4" t="str">
        <f t="array" ref="O11">_xlfn.XLOOKUP(max(I2:I1000), I2:I1000, H2:H1000, 0)</f>
        <v>Bills &amp; Utilities</v>
      </c>
    </row>
    <row r="12">
      <c r="A12" s="5">
        <v>46242.0</v>
      </c>
      <c r="B12" s="3" t="s">
        <v>3</v>
      </c>
      <c r="C12" s="3" t="s">
        <v>11</v>
      </c>
      <c r="D12" s="6">
        <v>22.98</v>
      </c>
      <c r="F12" s="7">
        <v>46252.0</v>
      </c>
      <c r="G12" s="4">
        <f t="shared" si="1"/>
        <v>67.01</v>
      </c>
      <c r="J12" s="4" t="s">
        <v>26</v>
      </c>
      <c r="K12" s="4">
        <f t="shared" si="3"/>
        <v>13.52</v>
      </c>
      <c r="N12" s="3" t="s">
        <v>51</v>
      </c>
      <c r="O12" s="4" t="str">
        <f t="array" ref="O12">_xlfn.XLOOKUP(min(I2:I1000), I2:I1000, H2:H1000, 0)</f>
        <v>Transport</v>
      </c>
    </row>
    <row r="13">
      <c r="A13" s="5">
        <v>46242.0</v>
      </c>
      <c r="B13" s="3" t="s">
        <v>3</v>
      </c>
      <c r="C13" s="3" t="s">
        <v>11</v>
      </c>
      <c r="D13" s="6">
        <v>8.67</v>
      </c>
      <c r="F13" s="7">
        <v>46259.0</v>
      </c>
      <c r="G13" s="4">
        <f t="shared" si="1"/>
        <v>39.76</v>
      </c>
      <c r="J13" s="4" t="s">
        <v>17</v>
      </c>
      <c r="K13" s="4">
        <f t="shared" si="3"/>
        <v>94.13</v>
      </c>
      <c r="N13" s="3" t="s">
        <v>52</v>
      </c>
      <c r="O13" s="4" t="str">
        <f t="array" ref="O13">_xlfn.XLOOKUP(max(K2:K1000), K2:K1000, J2:J1000, 0)</f>
        <v>subscription</v>
      </c>
    </row>
    <row r="14">
      <c r="A14" s="5">
        <v>46244.0</v>
      </c>
      <c r="B14" s="3" t="s">
        <v>3</v>
      </c>
      <c r="C14" s="3" t="s">
        <v>5</v>
      </c>
      <c r="D14" s="6">
        <v>19.83</v>
      </c>
      <c r="F14" s="7">
        <v>46262.0</v>
      </c>
      <c r="G14" s="4">
        <f t="shared" si="1"/>
        <v>18.81</v>
      </c>
      <c r="J14" s="4" t="s">
        <v>22</v>
      </c>
      <c r="K14" s="4">
        <f t="shared" si="3"/>
        <v>89.02</v>
      </c>
      <c r="N14" s="3" t="s">
        <v>53</v>
      </c>
      <c r="O14" s="4" t="str">
        <f t="array" ref="O14">_xlfn.XLOOKUP(min(K2:K1000), K2:K1000, J2:J1000, 0)</f>
        <v>public transport</v>
      </c>
    </row>
    <row r="15">
      <c r="A15" s="5">
        <v>46249.0</v>
      </c>
      <c r="B15" s="3" t="s">
        <v>10</v>
      </c>
      <c r="C15" s="3" t="s">
        <v>26</v>
      </c>
      <c r="D15" s="6">
        <v>13.52</v>
      </c>
      <c r="F15" s="7">
        <v>46263.0</v>
      </c>
      <c r="G15" s="4">
        <f t="shared" si="1"/>
        <v>46.05</v>
      </c>
      <c r="J15" s="4" t="s">
        <v>20</v>
      </c>
      <c r="K15" s="4">
        <f t="shared" si="3"/>
        <v>67.01</v>
      </c>
      <c r="N15" s="3" t="s">
        <v>54</v>
      </c>
      <c r="O15" s="4">
        <f>COUNTA(D2:D1000)</f>
        <v>20</v>
      </c>
    </row>
    <row r="16">
      <c r="A16" s="5">
        <v>46249.0</v>
      </c>
      <c r="B16" s="3" t="s">
        <v>6</v>
      </c>
      <c r="C16" s="3" t="s">
        <v>17</v>
      </c>
      <c r="D16" s="6">
        <v>94.13</v>
      </c>
      <c r="F16" s="4"/>
      <c r="J16" s="4" t="s">
        <v>4</v>
      </c>
      <c r="K16" s="4">
        <f t="shared" si="3"/>
        <v>39.76</v>
      </c>
      <c r="N16" s="3" t="s">
        <v>55</v>
      </c>
      <c r="O16" s="4">
        <f>max(G2:G1000)</f>
        <v>278.53</v>
      </c>
    </row>
    <row r="17">
      <c r="A17" s="5">
        <v>46251.0</v>
      </c>
      <c r="B17" s="3" t="s">
        <v>8</v>
      </c>
      <c r="C17" s="3" t="s">
        <v>22</v>
      </c>
      <c r="D17" s="6">
        <v>89.02</v>
      </c>
      <c r="J17" s="4" t="s">
        <v>32</v>
      </c>
      <c r="K17" s="4">
        <f t="shared" si="3"/>
        <v>18.81</v>
      </c>
    </row>
    <row r="18">
      <c r="A18" s="5">
        <v>46252.0</v>
      </c>
      <c r="B18" s="3" t="s">
        <v>8</v>
      </c>
      <c r="C18" s="3" t="s">
        <v>20</v>
      </c>
      <c r="D18" s="6">
        <v>67.01</v>
      </c>
      <c r="J18" s="4"/>
      <c r="N18" s="11" t="s">
        <v>56</v>
      </c>
      <c r="O18" s="12" t="str">
        <f>IFERROR(__xludf.DUMMYFUNCTION("UNIQUE(FILTER(B2:B1000, A2:A1000 = O9))"),"Bills &amp; Utilities")</f>
        <v>Bills &amp; Utilities</v>
      </c>
      <c r="P18" s="13">
        <f t="shared" ref="P18:P19" si="4">SUMIFS(D$2:D1000, A$2:A1000, $O$9, B$2:B1000, O18)</f>
        <v>185.37</v>
      </c>
    </row>
    <row r="19">
      <c r="A19" s="5">
        <v>46259.0</v>
      </c>
      <c r="B19" s="3" t="s">
        <v>3</v>
      </c>
      <c r="C19" s="3" t="s">
        <v>4</v>
      </c>
      <c r="D19" s="6">
        <v>39.76</v>
      </c>
      <c r="O19" s="12" t="str">
        <f>IFERROR(__xludf.DUMMYFUNCTION("""COMPUTED_VALUE"""),"Shopping")</f>
        <v>Shopping</v>
      </c>
      <c r="P19" s="13">
        <f t="shared" si="4"/>
        <v>93.16</v>
      </c>
    </row>
    <row r="20">
      <c r="A20" s="5">
        <v>46262.0</v>
      </c>
      <c r="B20" s="3" t="s">
        <v>12</v>
      </c>
      <c r="C20" s="3" t="s">
        <v>32</v>
      </c>
      <c r="D20" s="6">
        <v>18.81</v>
      </c>
    </row>
    <row r="21">
      <c r="A21" s="5">
        <v>46263.0</v>
      </c>
      <c r="B21" s="3" t="s">
        <v>10</v>
      </c>
      <c r="C21" s="3" t="s">
        <v>28</v>
      </c>
      <c r="D21" s="6">
        <v>46.05</v>
      </c>
      <c r="N21" s="14" t="s">
        <v>57</v>
      </c>
      <c r="O21" s="15" t="str">
        <f>IFERROR(__xludf.DUMMYFUNCTION("unique(filter(C2:C1000, A2:A1000 = O9))"),"subscription")</f>
        <v>subscription</v>
      </c>
      <c r="P21" s="15">
        <f t="shared" ref="P21:P23" si="5">SUMIFS(D$2:D1000, A$2:A1000, $O$9, C$2:C1000, O21)</f>
        <v>93.47</v>
      </c>
    </row>
    <row r="22">
      <c r="B22" s="4"/>
      <c r="O22" s="15" t="str">
        <f>IFERROR(__xludf.DUMMYFUNCTION("""COMPUTED_VALUE"""),"personal")</f>
        <v>personal</v>
      </c>
      <c r="P22" s="15">
        <f t="shared" si="5"/>
        <v>93.16</v>
      </c>
    </row>
    <row r="23">
      <c r="B23" s="4"/>
      <c r="O23" s="15" t="str">
        <f>IFERROR(__xludf.DUMMYFUNCTION("""COMPUTED_VALUE"""),"Girlfriend")</f>
        <v>Girlfriend</v>
      </c>
      <c r="P23" s="15">
        <f t="shared" si="5"/>
        <v>91.9</v>
      </c>
    </row>
    <row r="24">
      <c r="B24" s="4"/>
    </row>
    <row r="25">
      <c r="B25" s="4"/>
    </row>
    <row r="26">
      <c r="B26" s="4"/>
    </row>
    <row r="27">
      <c r="B27" s="4"/>
    </row>
    <row r="28">
      <c r="B28" s="4"/>
    </row>
    <row r="29">
      <c r="B29" s="4"/>
    </row>
    <row r="30">
      <c r="B30" s="4"/>
    </row>
    <row r="31">
      <c r="B31" s="4"/>
    </row>
    <row r="32">
      <c r="B32" s="4"/>
    </row>
    <row r="33">
      <c r="B33" s="4"/>
    </row>
    <row r="34">
      <c r="B34" s="4"/>
    </row>
    <row r="35">
      <c r="B35" s="4"/>
    </row>
    <row r="36">
      <c r="B36" s="4"/>
    </row>
    <row r="37">
      <c r="B37" s="4"/>
    </row>
    <row r="38">
      <c r="B38" s="4"/>
    </row>
    <row r="39">
      <c r="B39" s="4"/>
    </row>
    <row r="40">
      <c r="B40" s="4"/>
    </row>
    <row r="41">
      <c r="B41" s="4"/>
    </row>
    <row r="42">
      <c r="B42" s="4"/>
    </row>
    <row r="43">
      <c r="B43" s="4"/>
    </row>
    <row r="44">
      <c r="B44" s="4"/>
    </row>
    <row r="45">
      <c r="B45" s="4"/>
    </row>
    <row r="46">
      <c r="B46" s="4"/>
    </row>
    <row r="47">
      <c r="B47" s="4"/>
    </row>
    <row r="48">
      <c r="B48" s="4"/>
    </row>
    <row r="49">
      <c r="B49" s="4"/>
    </row>
    <row r="50">
      <c r="B50" s="4"/>
    </row>
    <row r="51">
      <c r="B51" s="4"/>
    </row>
    <row r="52">
      <c r="B52" s="4"/>
    </row>
    <row r="53">
      <c r="B53" s="4"/>
    </row>
    <row r="54">
      <c r="B54" s="4"/>
    </row>
    <row r="55">
      <c r="B55" s="4"/>
    </row>
    <row r="56">
      <c r="B56" s="4"/>
    </row>
    <row r="57">
      <c r="B57" s="4"/>
    </row>
    <row r="58">
      <c r="B58" s="4"/>
    </row>
    <row r="59">
      <c r="B59" s="4"/>
    </row>
    <row r="60">
      <c r="B60" s="4"/>
    </row>
    <row r="61">
      <c r="B61" s="4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</sheetData>
  <dataValidations>
    <dataValidation type="list" allowBlank="1" showErrorMessage="1" sqref="C3">
      <formula1>"electricity,airtime,data,internet,subscription"</formula1>
    </dataValidation>
    <dataValidation type="list" allowBlank="1" showErrorMessage="1" sqref="C5 C20">
      <formula1>"clothes,shoes,electronics,accessories,personal"</formula1>
    </dataValidation>
    <dataValidation type="list" allowBlank="1" showErrorMessage="1" sqref="B2:B1000">
      <formula1>Lists!$D$2:$D1000</formula1>
    </dataValidation>
    <dataValidation type="list" allowBlank="1" showErrorMessage="1" sqref="C9 C16">
      <formula1>"uber,bolt,parking,fuel,public transport"</formula1>
    </dataValidation>
    <dataValidation type="list" allowBlank="1" showErrorMessage="1" sqref="C2 C7">
      <formula1>"medication,doctor visits,phamarcy,gym/fitness"</formula1>
    </dataValidation>
    <dataValidation type="list" allowBlank="1" showErrorMessage="1" sqref="C6 C8 C15 C21">
      <formula1>"electricity,airtime,data,internet,subscription,Girlfriend"</formula1>
    </dataValidation>
    <dataValidation type="list" allowBlank="1" showErrorMessage="1" sqref="C11 C17:C18">
      <formula1>"rent,electricity,water,gas,repairs"</formula1>
    </dataValidation>
    <dataValidation type="list" allowBlank="1" showErrorMessage="1" sqref="C4">
      <formula1>"electricity,airtime,data,internet,subscription,Girlfirend"</formula1>
    </dataValidation>
    <dataValidation type="list" allowBlank="1" showErrorMessage="1" sqref="C10 C12:C14 C19">
      <formula1>"Groceries,restaurants,fast food,drinks,snaks"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/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4</v>
      </c>
      <c r="D2" s="3" t="s">
        <v>3</v>
      </c>
      <c r="F2" s="4" t="str">
        <f>IFERROR(__xludf.DUMMYFUNCTION("FILTER($B$2:$B1001,$A$2:$A1001=Expenses!B2)"),"medication")</f>
        <v>medication</v>
      </c>
    </row>
    <row r="3">
      <c r="A3" s="3" t="s">
        <v>3</v>
      </c>
      <c r="B3" s="3" t="s">
        <v>5</v>
      </c>
      <c r="D3" s="3" t="s">
        <v>6</v>
      </c>
      <c r="F3" s="4" t="str">
        <f>IFERROR(__xludf.DUMMYFUNCTION("""COMPUTED_VALUE"""),"doctor visits")</f>
        <v>doctor visits</v>
      </c>
    </row>
    <row r="4">
      <c r="A4" s="3" t="s">
        <v>3</v>
      </c>
      <c r="B4" s="3" t="s">
        <v>7</v>
      </c>
      <c r="D4" s="3" t="s">
        <v>8</v>
      </c>
      <c r="F4" s="4" t="str">
        <f>IFERROR(__xludf.DUMMYFUNCTION("""COMPUTED_VALUE"""),"phamarcy")</f>
        <v>phamarcy</v>
      </c>
    </row>
    <row r="5">
      <c r="A5" s="3" t="s">
        <v>3</v>
      </c>
      <c r="B5" s="3" t="s">
        <v>9</v>
      </c>
      <c r="D5" s="3" t="s">
        <v>10</v>
      </c>
      <c r="F5" s="4" t="str">
        <f>IFERROR(__xludf.DUMMYFUNCTION("""COMPUTED_VALUE"""),"gym/fitness")</f>
        <v>gym/fitness</v>
      </c>
    </row>
    <row r="6">
      <c r="A6" s="3" t="s">
        <v>3</v>
      </c>
      <c r="B6" s="3" t="s">
        <v>11</v>
      </c>
      <c r="D6" s="3" t="s">
        <v>12</v>
      </c>
    </row>
    <row r="7">
      <c r="A7" s="3" t="s">
        <v>6</v>
      </c>
      <c r="B7" s="3" t="s">
        <v>13</v>
      </c>
      <c r="D7" s="3" t="s">
        <v>14</v>
      </c>
    </row>
    <row r="8">
      <c r="A8" s="3" t="s">
        <v>6</v>
      </c>
      <c r="B8" s="3" t="s">
        <v>15</v>
      </c>
    </row>
    <row r="9">
      <c r="A9" s="3" t="s">
        <v>6</v>
      </c>
      <c r="B9" s="3" t="s">
        <v>16</v>
      </c>
    </row>
    <row r="10">
      <c r="A10" s="3" t="s">
        <v>6</v>
      </c>
      <c r="B10" s="3" t="s">
        <v>17</v>
      </c>
    </row>
    <row r="11">
      <c r="A11" s="3" t="s">
        <v>6</v>
      </c>
      <c r="B11" s="3" t="s">
        <v>18</v>
      </c>
    </row>
    <row r="12">
      <c r="A12" s="3" t="s">
        <v>8</v>
      </c>
      <c r="B12" s="3" t="s">
        <v>19</v>
      </c>
    </row>
    <row r="13">
      <c r="A13" s="3" t="s">
        <v>8</v>
      </c>
      <c r="B13" s="3" t="s">
        <v>20</v>
      </c>
    </row>
    <row r="14">
      <c r="A14" s="3" t="s">
        <v>8</v>
      </c>
      <c r="B14" s="3" t="s">
        <v>21</v>
      </c>
    </row>
    <row r="15">
      <c r="A15" s="3" t="s">
        <v>8</v>
      </c>
      <c r="B15" s="3" t="s">
        <v>22</v>
      </c>
    </row>
    <row r="16">
      <c r="A16" s="3" t="s">
        <v>8</v>
      </c>
      <c r="B16" s="3" t="s">
        <v>23</v>
      </c>
    </row>
    <row r="17">
      <c r="A17" s="3" t="s">
        <v>10</v>
      </c>
      <c r="B17" s="3" t="s">
        <v>20</v>
      </c>
    </row>
    <row r="18">
      <c r="A18" s="3" t="s">
        <v>10</v>
      </c>
      <c r="B18" s="3" t="s">
        <v>24</v>
      </c>
    </row>
    <row r="19">
      <c r="A19" s="3" t="s">
        <v>10</v>
      </c>
      <c r="B19" s="3" t="s">
        <v>25</v>
      </c>
    </row>
    <row r="20">
      <c r="A20" s="3" t="s">
        <v>10</v>
      </c>
      <c r="B20" s="3" t="s">
        <v>26</v>
      </c>
    </row>
    <row r="21">
      <c r="A21" s="3" t="s">
        <v>10</v>
      </c>
      <c r="B21" s="3" t="s">
        <v>27</v>
      </c>
    </row>
    <row r="22">
      <c r="A22" s="3" t="s">
        <v>10</v>
      </c>
      <c r="B22" s="3" t="s">
        <v>28</v>
      </c>
    </row>
    <row r="23">
      <c r="A23" s="3" t="s">
        <v>12</v>
      </c>
      <c r="B23" s="3" t="s">
        <v>29</v>
      </c>
    </row>
    <row r="24">
      <c r="A24" s="3" t="s">
        <v>12</v>
      </c>
      <c r="B24" s="3" t="s">
        <v>30</v>
      </c>
    </row>
    <row r="25">
      <c r="A25" s="3" t="s">
        <v>12</v>
      </c>
      <c r="B25" s="3" t="s">
        <v>31</v>
      </c>
    </row>
    <row r="26">
      <c r="A26" s="3" t="s">
        <v>12</v>
      </c>
      <c r="B26" s="3" t="s">
        <v>32</v>
      </c>
    </row>
    <row r="27">
      <c r="A27" s="3" t="s">
        <v>12</v>
      </c>
      <c r="B27" s="3" t="s">
        <v>33</v>
      </c>
    </row>
    <row r="28">
      <c r="A28" s="3" t="s">
        <v>14</v>
      </c>
      <c r="B28" s="3" t="s">
        <v>34</v>
      </c>
    </row>
    <row r="29">
      <c r="A29" s="3" t="s">
        <v>14</v>
      </c>
      <c r="B29" s="3" t="s">
        <v>35</v>
      </c>
    </row>
    <row r="30">
      <c r="A30" s="3" t="s">
        <v>14</v>
      </c>
      <c r="B30" s="3" t="s">
        <v>36</v>
      </c>
    </row>
    <row r="31">
      <c r="A31" s="3" t="s">
        <v>14</v>
      </c>
      <c r="B31" s="3" t="s">
        <v>37</v>
      </c>
    </row>
  </sheetData>
  <drawing r:id="rId1"/>
</worksheet>
</file>